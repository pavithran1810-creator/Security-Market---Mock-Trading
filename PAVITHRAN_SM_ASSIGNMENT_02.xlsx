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3E7BC1A2DF79D6C/Documents/"/>
    </mc:Choice>
  </mc:AlternateContent>
  <xr:revisionPtr revIDLastSave="331" documentId="8_{D973CA1B-6440-4ADE-824C-F190D01F5D26}" xr6:coauthVersionLast="47" xr6:coauthVersionMax="47" xr10:uidLastSave="{8FAC179A-2CC4-4044-8D5B-5C7FF8F4107F}"/>
  <bookViews>
    <workbookView minimized="1" xWindow="2040" yWindow="1860" windowWidth="14100" windowHeight="9780" activeTab="2" xr2:uid="{B083BF8E-339F-4500-80A2-1A30351B0DE6}"/>
  </bookViews>
  <sheets>
    <sheet name="Session 1" sheetId="1" r:id="rId1"/>
    <sheet name="Session 2" sheetId="2" r:id="rId2"/>
    <sheet name="Session 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3" l="1"/>
  <c r="E22" i="3"/>
  <c r="F22" i="3"/>
  <c r="G22" i="3"/>
  <c r="H22" i="3"/>
  <c r="E21" i="3"/>
  <c r="F21" i="3"/>
  <c r="G21" i="3"/>
  <c r="H21" i="3"/>
  <c r="D21" i="3"/>
  <c r="H23" i="3"/>
  <c r="G23" i="3"/>
  <c r="F23" i="3"/>
  <c r="E23" i="3"/>
  <c r="C23" i="3"/>
  <c r="D23" i="3"/>
  <c r="G14" i="3"/>
  <c r="H13" i="3"/>
  <c r="H14" i="3"/>
  <c r="H15" i="3"/>
  <c r="H16" i="3"/>
  <c r="H12" i="3"/>
  <c r="G13" i="3"/>
  <c r="G15" i="3"/>
  <c r="G16" i="3"/>
  <c r="G12" i="3"/>
  <c r="F16" i="3"/>
  <c r="F13" i="3"/>
  <c r="F14" i="3"/>
  <c r="F15" i="3"/>
  <c r="F12" i="3"/>
  <c r="E12" i="3"/>
  <c r="E13" i="3"/>
  <c r="E14" i="3"/>
  <c r="E15" i="3"/>
  <c r="E16" i="3"/>
  <c r="D15" i="3"/>
  <c r="D16" i="3"/>
  <c r="D14" i="3"/>
  <c r="D13" i="3"/>
  <c r="D12" i="3"/>
  <c r="F3" i="2"/>
  <c r="F7" i="2"/>
  <c r="F6" i="2"/>
  <c r="F5" i="2"/>
  <c r="F4" i="2"/>
</calcChain>
</file>

<file path=xl/sharedStrings.xml><?xml version="1.0" encoding="utf-8"?>
<sst xmlns="http://schemas.openxmlformats.org/spreadsheetml/2006/main" count="189" uniqueCount="105">
  <si>
    <t>LISTED COMPANIES IN INDIA</t>
  </si>
  <si>
    <t>S.No</t>
  </si>
  <si>
    <t>Company Name</t>
  </si>
  <si>
    <t>Listed Company YES/NO</t>
  </si>
  <si>
    <t>Sector</t>
  </si>
  <si>
    <t>NSE/BSE</t>
  </si>
  <si>
    <t>Reliance Industries Limited (RIL)</t>
  </si>
  <si>
    <t>Yes</t>
  </si>
  <si>
    <t>Conglomerate (Energy, Retail, Telecom)</t>
  </si>
  <si>
    <t>BOTH</t>
  </si>
  <si>
    <t>Tata Consultancy Services (TCS)</t>
  </si>
  <si>
    <t>IT Services &amp; Consulting</t>
  </si>
  <si>
    <t>HDFC Bank Limited</t>
  </si>
  <si>
    <t>Banking &amp; Financial Services</t>
  </si>
  <si>
    <t>ICICI Bank Limited</t>
  </si>
  <si>
    <t>Infosys Limited</t>
  </si>
  <si>
    <t>IT Services &amp; Software</t>
  </si>
  <si>
    <t>Bharti Airtel Limited</t>
  </si>
  <si>
    <t>Telecommunications</t>
  </si>
  <si>
    <t>State Bank of India (SBI)</t>
  </si>
  <si>
    <t>Public Sector Banking</t>
  </si>
  <si>
    <t>ITC Limited</t>
  </si>
  <si>
    <t>FMCG, Hotels, &amp; Agribusiness</t>
  </si>
  <si>
    <t>Larsen &amp; Toubro Limited (L&amp;T)</t>
  </si>
  <si>
    <t>Engineering &amp; Infrastructure</t>
  </si>
  <si>
    <t>Hindustan Unilever Limited (HUL)</t>
  </si>
  <si>
    <t>FMCG / Consumer Goods</t>
  </si>
  <si>
    <t>Titan Company Limited</t>
  </si>
  <si>
    <t>Gems, Jewellery &amp; Retail</t>
  </si>
  <si>
    <t>Maruti Suzuki India Limited</t>
  </si>
  <si>
    <t>Automobile Manufacturing</t>
  </si>
  <si>
    <t>Sun Pharmaceutical Industries Ltd</t>
  </si>
  <si>
    <t>Pharmaceuticals &amp; Lifesciences</t>
  </si>
  <si>
    <t>Bajaj Finance Limited</t>
  </si>
  <si>
    <t>Non-Banking Financial Services (NBFC)</t>
  </si>
  <si>
    <t>Tata Motors Limited</t>
  </si>
  <si>
    <t>No</t>
  </si>
  <si>
    <t>Financial Services / Insurance</t>
  </si>
  <si>
    <t>Serum Institute of India</t>
  </si>
  <si>
    <t>Pharmaceuticals &amp; Vaccine Biotech</t>
  </si>
  <si>
    <t>NSE</t>
  </si>
  <si>
    <t>Zoho Corporation</t>
  </si>
  <si>
    <t>Enterprise Cloud Software / SaaS</t>
  </si>
  <si>
    <t>NIL</t>
  </si>
  <si>
    <t>Reliance Retail Limited</t>
  </si>
  <si>
    <t>Retail &amp; E-commerce</t>
  </si>
  <si>
    <t>Flipkart Internet Private Limited</t>
  </si>
  <si>
    <t>E-commerce Platform</t>
  </si>
  <si>
    <t>Zerodha Broking Limited</t>
  </si>
  <si>
    <t>Fintech / Retail Stock Brokerage</t>
  </si>
  <si>
    <t>Parle Products Private Limited</t>
  </si>
  <si>
    <t>FMCG / Food &amp; Beverages</t>
  </si>
  <si>
    <t>Tata Sons Private Limited</t>
  </si>
  <si>
    <t>Holding Company (Tata Group Parent)</t>
  </si>
  <si>
    <t>Zepto (StepGrocer)</t>
  </si>
  <si>
    <t>Quick Commerce Tech</t>
  </si>
  <si>
    <t>Chennai Super Kings Cricket Ltd (CSK)</t>
  </si>
  <si>
    <t>Sports &amp; Entertainment</t>
  </si>
  <si>
    <t>Tata Electronics Private Limited</t>
  </si>
  <si>
    <t>Semiconductor &amp; Electronics</t>
  </si>
  <si>
    <t>Oravel Stays Private Limited (OYO)</t>
  </si>
  <si>
    <t>Hospitality &amp; Travel Tech</t>
  </si>
  <si>
    <t>PhonePe Private Limited</t>
  </si>
  <si>
    <t>Digital Payments &amp; Fintech</t>
  </si>
  <si>
    <t>Haldiram Snacks Food</t>
  </si>
  <si>
    <t>Packaged Foods &amp; FMCG</t>
  </si>
  <si>
    <t>Razorpay Software Private Limited</t>
  </si>
  <si>
    <t>Fintech / Payment Gateway</t>
  </si>
  <si>
    <t>Share Price Observation Table</t>
  </si>
  <si>
    <t xml:space="preserve">S.No </t>
  </si>
  <si>
    <t>Stock Symbol (Ticker Symbol)</t>
  </si>
  <si>
    <t xml:space="preserve">Current Price </t>
  </si>
  <si>
    <t>Perivous Close Price</t>
  </si>
  <si>
    <t>Price Change</t>
  </si>
  <si>
    <t>Price Movement</t>
  </si>
  <si>
    <t>Sbi Life Insurance Company Ltd</t>
  </si>
  <si>
    <t>Down</t>
  </si>
  <si>
    <t>Infosys Ltd</t>
  </si>
  <si>
    <t>Titan Company Ltd</t>
  </si>
  <si>
    <t>HINDUNILVR</t>
  </si>
  <si>
    <t>SUNPHARMA</t>
  </si>
  <si>
    <t>TITAN</t>
  </si>
  <si>
    <t>INFY</t>
  </si>
  <si>
    <t>SBILIFE</t>
  </si>
  <si>
    <t>Current Price</t>
  </si>
  <si>
    <t>1 Year Ago</t>
  </si>
  <si>
    <t>2 Year Ago</t>
  </si>
  <si>
    <t>3 Year Ago</t>
  </si>
  <si>
    <t>4 Year Ago</t>
  </si>
  <si>
    <t>5 Year Ago</t>
  </si>
  <si>
    <t>HISTORICAL SHARE PRICE ANALYSIS</t>
  </si>
  <si>
    <t>VALUE OF 1,00,000 INVESTMENT TODAY</t>
  </si>
  <si>
    <t>Amount invested</t>
  </si>
  <si>
    <t>S.NO</t>
  </si>
  <si>
    <t>INVESTED TYPE</t>
  </si>
  <si>
    <t>AMOUNT INVESTED</t>
  </si>
  <si>
    <t xml:space="preserve">1 YEARS </t>
  </si>
  <si>
    <t xml:space="preserve">2 YEARS </t>
  </si>
  <si>
    <t xml:space="preserve">3 YEARS </t>
  </si>
  <si>
    <t xml:space="preserve">4 YEARS </t>
  </si>
  <si>
    <t xml:space="preserve">5 YEARS </t>
  </si>
  <si>
    <t>SAVING ACCOUNT (3%)</t>
  </si>
  <si>
    <t>FIXED DEPOSIT(7%)</t>
  </si>
  <si>
    <t>BEST PERFORMING STOCK (Titan Company Ltd)</t>
  </si>
  <si>
    <t>COMPARISON WITH FIXED RETURN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</si>
</sst>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name val="Times New Roman"/>
      <family val="1"/>
    </font>
    <font>
      <b/>
      <sz val="12"/>
      <color rgb="FFFFFFFF"/>
      <name val="Times New Roman"/>
      <family val="1"/>
    </font>
    <font>
      <b/>
      <sz val="16"/>
      <color rgb="FFFFFFFF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C5282"/>
        <bgColor rgb="FF2C528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4" borderId="2" xfId="0" applyFon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0" borderId="2" xfId="0" applyFont="1" applyBorder="1"/>
    <xf numFmtId="0" fontId="6" fillId="0" borderId="0" xfId="0" applyFont="1"/>
    <xf numFmtId="0" fontId="8" fillId="0" borderId="2" xfId="0" applyFont="1" applyBorder="1" applyAlignment="1">
      <alignment horizontal="left" vertical="center"/>
    </xf>
    <xf numFmtId="0" fontId="9" fillId="5" borderId="2" xfId="0" applyFont="1" applyFill="1" applyBorder="1"/>
    <xf numFmtId="0" fontId="6" fillId="0" borderId="2" xfId="0" applyFont="1" applyBorder="1"/>
    <xf numFmtId="0" fontId="7" fillId="0" borderId="2" xfId="0" applyFont="1" applyBorder="1"/>
    <xf numFmtId="164" fontId="6" fillId="0" borderId="2" xfId="0" applyNumberFormat="1" applyFont="1" applyBorder="1"/>
    <xf numFmtId="0" fontId="10" fillId="4" borderId="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/>
    </xf>
    <xf numFmtId="0" fontId="5" fillId="0" borderId="0" xfId="0" applyFont="1"/>
    <xf numFmtId="0" fontId="10" fillId="4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164" fontId="5" fillId="0" borderId="2" xfId="0" applyNumberFormat="1" applyFont="1" applyBorder="1"/>
    <xf numFmtId="0" fontId="12" fillId="0" borderId="2" xfId="0" applyFont="1" applyBorder="1"/>
    <xf numFmtId="164" fontId="1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86007-EC5A-4C52-BC69-E7A3A844795F}">
  <dimension ref="A1:E32"/>
  <sheetViews>
    <sheetView zoomScale="90" zoomScaleNormal="90" workbookViewId="0">
      <selection activeCell="C5" sqref="C5"/>
    </sheetView>
  </sheetViews>
  <sheetFormatPr defaultRowHeight="14.4" x14ac:dyDescent="0.3"/>
  <cols>
    <col min="1" max="1" width="5.44140625" bestFit="1" customWidth="1"/>
    <col min="2" max="2" width="34.109375" bestFit="1" customWidth="1"/>
    <col min="3" max="3" width="25.33203125" bestFit="1" customWidth="1"/>
    <col min="4" max="4" width="36" bestFit="1" customWidth="1"/>
    <col min="5" max="5" width="9.6640625" bestFit="1" customWidth="1"/>
  </cols>
  <sheetData>
    <row r="1" spans="1:5" ht="20.399999999999999" x14ac:dyDescent="0.3">
      <c r="A1" s="17" t="s">
        <v>0</v>
      </c>
      <c r="B1" s="17"/>
      <c r="C1" s="17"/>
      <c r="D1" s="17"/>
      <c r="E1" s="17"/>
    </row>
    <row r="2" spans="1:5" ht="15.6" x14ac:dyDescent="0.3">
      <c r="A2" s="5" t="s">
        <v>1</v>
      </c>
      <c r="B2" s="5" t="s">
        <v>2</v>
      </c>
      <c r="C2" s="5" t="s">
        <v>3</v>
      </c>
      <c r="D2" s="5" t="s">
        <v>4</v>
      </c>
      <c r="E2" s="1" t="s">
        <v>5</v>
      </c>
    </row>
    <row r="3" spans="1:5" x14ac:dyDescent="0.3">
      <c r="A3" s="6">
        <v>1</v>
      </c>
      <c r="B3" s="7" t="s">
        <v>6</v>
      </c>
      <c r="C3" s="6" t="s">
        <v>7</v>
      </c>
      <c r="D3" s="7" t="s">
        <v>8</v>
      </c>
      <c r="E3" s="8" t="s">
        <v>9</v>
      </c>
    </row>
    <row r="4" spans="1:5" x14ac:dyDescent="0.3">
      <c r="A4" s="6">
        <v>2</v>
      </c>
      <c r="B4" s="7" t="s">
        <v>10</v>
      </c>
      <c r="C4" s="6" t="s">
        <v>7</v>
      </c>
      <c r="D4" s="7" t="s">
        <v>11</v>
      </c>
      <c r="E4" s="8" t="s">
        <v>9</v>
      </c>
    </row>
    <row r="5" spans="1:5" x14ac:dyDescent="0.3">
      <c r="A5" s="6">
        <v>3</v>
      </c>
      <c r="B5" s="7" t="s">
        <v>12</v>
      </c>
      <c r="C5" s="6" t="s">
        <v>7</v>
      </c>
      <c r="D5" s="7" t="s">
        <v>13</v>
      </c>
      <c r="E5" s="8" t="s">
        <v>9</v>
      </c>
    </row>
    <row r="6" spans="1:5" x14ac:dyDescent="0.3">
      <c r="A6" s="6">
        <v>4</v>
      </c>
      <c r="B6" s="7" t="s">
        <v>14</v>
      </c>
      <c r="C6" s="6" t="s">
        <v>7</v>
      </c>
      <c r="D6" s="7" t="s">
        <v>13</v>
      </c>
      <c r="E6" s="8" t="s">
        <v>9</v>
      </c>
    </row>
    <row r="7" spans="1:5" x14ac:dyDescent="0.3">
      <c r="A7" s="6">
        <v>5</v>
      </c>
      <c r="B7" s="7" t="s">
        <v>15</v>
      </c>
      <c r="C7" s="6" t="s">
        <v>7</v>
      </c>
      <c r="D7" s="7" t="s">
        <v>16</v>
      </c>
      <c r="E7" s="8" t="s">
        <v>9</v>
      </c>
    </row>
    <row r="8" spans="1:5" x14ac:dyDescent="0.3">
      <c r="A8" s="6">
        <v>6</v>
      </c>
      <c r="B8" s="7" t="s">
        <v>17</v>
      </c>
      <c r="C8" s="6" t="s">
        <v>7</v>
      </c>
      <c r="D8" s="7" t="s">
        <v>18</v>
      </c>
      <c r="E8" s="8" t="s">
        <v>9</v>
      </c>
    </row>
    <row r="9" spans="1:5" x14ac:dyDescent="0.3">
      <c r="A9" s="6">
        <v>7</v>
      </c>
      <c r="B9" s="7" t="s">
        <v>19</v>
      </c>
      <c r="C9" s="6" t="s">
        <v>7</v>
      </c>
      <c r="D9" s="7" t="s">
        <v>20</v>
      </c>
      <c r="E9" s="8" t="s">
        <v>9</v>
      </c>
    </row>
    <row r="10" spans="1:5" x14ac:dyDescent="0.3">
      <c r="A10" s="6">
        <v>8</v>
      </c>
      <c r="B10" s="7" t="s">
        <v>21</v>
      </c>
      <c r="C10" s="6" t="s">
        <v>7</v>
      </c>
      <c r="D10" s="7" t="s">
        <v>22</v>
      </c>
      <c r="E10" s="8" t="s">
        <v>9</v>
      </c>
    </row>
    <row r="11" spans="1:5" x14ac:dyDescent="0.3">
      <c r="A11" s="6">
        <v>9</v>
      </c>
      <c r="B11" s="7" t="s">
        <v>23</v>
      </c>
      <c r="C11" s="6" t="s">
        <v>7</v>
      </c>
      <c r="D11" s="7" t="s">
        <v>24</v>
      </c>
      <c r="E11" s="8" t="s">
        <v>9</v>
      </c>
    </row>
    <row r="12" spans="1:5" x14ac:dyDescent="0.3">
      <c r="A12" s="6">
        <v>10</v>
      </c>
      <c r="B12" s="7" t="s">
        <v>25</v>
      </c>
      <c r="C12" s="6" t="s">
        <v>7</v>
      </c>
      <c r="D12" s="7" t="s">
        <v>26</v>
      </c>
      <c r="E12" s="8" t="s">
        <v>9</v>
      </c>
    </row>
    <row r="13" spans="1:5" x14ac:dyDescent="0.3">
      <c r="A13" s="6">
        <v>11</v>
      </c>
      <c r="B13" s="7" t="s">
        <v>27</v>
      </c>
      <c r="C13" s="6" t="s">
        <v>7</v>
      </c>
      <c r="D13" s="7" t="s">
        <v>28</v>
      </c>
      <c r="E13" s="8" t="s">
        <v>9</v>
      </c>
    </row>
    <row r="14" spans="1:5" x14ac:dyDescent="0.3">
      <c r="A14" s="6">
        <v>12</v>
      </c>
      <c r="B14" s="7" t="s">
        <v>29</v>
      </c>
      <c r="C14" s="6" t="s">
        <v>7</v>
      </c>
      <c r="D14" s="7" t="s">
        <v>30</v>
      </c>
      <c r="E14" s="8" t="s">
        <v>9</v>
      </c>
    </row>
    <row r="15" spans="1:5" x14ac:dyDescent="0.3">
      <c r="A15" s="6">
        <v>13</v>
      </c>
      <c r="B15" s="7" t="s">
        <v>31</v>
      </c>
      <c r="C15" s="6" t="s">
        <v>7</v>
      </c>
      <c r="D15" s="7" t="s">
        <v>32</v>
      </c>
      <c r="E15" s="8" t="s">
        <v>9</v>
      </c>
    </row>
    <row r="16" spans="1:5" x14ac:dyDescent="0.3">
      <c r="A16" s="6">
        <v>14</v>
      </c>
      <c r="B16" s="7" t="s">
        <v>33</v>
      </c>
      <c r="C16" s="6" t="s">
        <v>7</v>
      </c>
      <c r="D16" s="7" t="s">
        <v>34</v>
      </c>
      <c r="E16" s="8" t="s">
        <v>9</v>
      </c>
    </row>
    <row r="17" spans="1:5" x14ac:dyDescent="0.3">
      <c r="A17" s="6">
        <v>15</v>
      </c>
      <c r="B17" s="7" t="s">
        <v>35</v>
      </c>
      <c r="C17" s="6" t="s">
        <v>7</v>
      </c>
      <c r="D17" s="7" t="s">
        <v>30</v>
      </c>
      <c r="E17" s="8" t="s">
        <v>9</v>
      </c>
    </row>
    <row r="18" spans="1:5" ht="15.6" x14ac:dyDescent="0.3">
      <c r="A18" s="6">
        <v>16</v>
      </c>
      <c r="B18" s="9" t="s">
        <v>75</v>
      </c>
      <c r="C18" s="2" t="s">
        <v>36</v>
      </c>
      <c r="D18" s="3" t="s">
        <v>37</v>
      </c>
      <c r="E18" s="8" t="s">
        <v>40</v>
      </c>
    </row>
    <row r="19" spans="1:5" x14ac:dyDescent="0.3">
      <c r="A19" s="6">
        <v>17</v>
      </c>
      <c r="B19" s="3" t="s">
        <v>38</v>
      </c>
      <c r="C19" s="2" t="s">
        <v>36</v>
      </c>
      <c r="D19" s="4" t="s">
        <v>39</v>
      </c>
      <c r="E19" s="8" t="s">
        <v>40</v>
      </c>
    </row>
    <row r="20" spans="1:5" x14ac:dyDescent="0.3">
      <c r="A20" s="6">
        <v>18</v>
      </c>
      <c r="B20" s="3" t="s">
        <v>41</v>
      </c>
      <c r="C20" s="2" t="s">
        <v>36</v>
      </c>
      <c r="D20" s="4" t="s">
        <v>42</v>
      </c>
      <c r="E20" s="8" t="s">
        <v>43</v>
      </c>
    </row>
    <row r="21" spans="1:5" x14ac:dyDescent="0.3">
      <c r="A21" s="6">
        <v>19</v>
      </c>
      <c r="B21" s="3" t="s">
        <v>44</v>
      </c>
      <c r="C21" s="2" t="s">
        <v>36</v>
      </c>
      <c r="D21" s="4" t="s">
        <v>45</v>
      </c>
      <c r="E21" s="8" t="s">
        <v>43</v>
      </c>
    </row>
    <row r="22" spans="1:5" x14ac:dyDescent="0.3">
      <c r="A22" s="6">
        <v>20</v>
      </c>
      <c r="B22" s="3" t="s">
        <v>46</v>
      </c>
      <c r="C22" s="2" t="s">
        <v>36</v>
      </c>
      <c r="D22" s="4" t="s">
        <v>47</v>
      </c>
      <c r="E22" s="8" t="s">
        <v>43</v>
      </c>
    </row>
    <row r="23" spans="1:5" x14ac:dyDescent="0.3">
      <c r="A23" s="6">
        <v>21</v>
      </c>
      <c r="B23" s="3" t="s">
        <v>48</v>
      </c>
      <c r="C23" s="2" t="s">
        <v>36</v>
      </c>
      <c r="D23" s="4" t="s">
        <v>49</v>
      </c>
      <c r="E23" s="8" t="s">
        <v>43</v>
      </c>
    </row>
    <row r="24" spans="1:5" x14ac:dyDescent="0.3">
      <c r="A24" s="6">
        <v>22</v>
      </c>
      <c r="B24" s="3" t="s">
        <v>50</v>
      </c>
      <c r="C24" s="2" t="s">
        <v>36</v>
      </c>
      <c r="D24" s="4" t="s">
        <v>51</v>
      </c>
      <c r="E24" s="8" t="s">
        <v>43</v>
      </c>
    </row>
    <row r="25" spans="1:5" x14ac:dyDescent="0.3">
      <c r="A25" s="6">
        <v>23</v>
      </c>
      <c r="B25" s="3" t="s">
        <v>52</v>
      </c>
      <c r="C25" s="2" t="s">
        <v>36</v>
      </c>
      <c r="D25" s="4" t="s">
        <v>53</v>
      </c>
      <c r="E25" s="8" t="s">
        <v>43</v>
      </c>
    </row>
    <row r="26" spans="1:5" x14ac:dyDescent="0.3">
      <c r="A26" s="6">
        <v>24</v>
      </c>
      <c r="B26" s="3" t="s">
        <v>54</v>
      </c>
      <c r="C26" s="2" t="s">
        <v>36</v>
      </c>
      <c r="D26" s="4" t="s">
        <v>55</v>
      </c>
      <c r="E26" s="8" t="s">
        <v>43</v>
      </c>
    </row>
    <row r="27" spans="1:5" x14ac:dyDescent="0.3">
      <c r="A27" s="6">
        <v>25</v>
      </c>
      <c r="B27" s="3" t="s">
        <v>56</v>
      </c>
      <c r="C27" s="2" t="s">
        <v>36</v>
      </c>
      <c r="D27" s="4" t="s">
        <v>57</v>
      </c>
      <c r="E27" s="8" t="s">
        <v>43</v>
      </c>
    </row>
    <row r="28" spans="1:5" x14ac:dyDescent="0.3">
      <c r="A28" s="6">
        <v>26</v>
      </c>
      <c r="B28" s="3" t="s">
        <v>58</v>
      </c>
      <c r="C28" s="2" t="s">
        <v>36</v>
      </c>
      <c r="D28" s="4" t="s">
        <v>59</v>
      </c>
      <c r="E28" s="8" t="s">
        <v>43</v>
      </c>
    </row>
    <row r="29" spans="1:5" x14ac:dyDescent="0.3">
      <c r="A29" s="6">
        <v>27</v>
      </c>
      <c r="B29" s="3" t="s">
        <v>60</v>
      </c>
      <c r="C29" s="2" t="s">
        <v>36</v>
      </c>
      <c r="D29" s="4" t="s">
        <v>61</v>
      </c>
      <c r="E29" s="8" t="s">
        <v>43</v>
      </c>
    </row>
    <row r="30" spans="1:5" x14ac:dyDescent="0.3">
      <c r="A30" s="6">
        <v>28</v>
      </c>
      <c r="B30" s="3" t="s">
        <v>62</v>
      </c>
      <c r="C30" s="2" t="s">
        <v>36</v>
      </c>
      <c r="D30" s="4" t="s">
        <v>63</v>
      </c>
      <c r="E30" s="8" t="s">
        <v>43</v>
      </c>
    </row>
    <row r="31" spans="1:5" x14ac:dyDescent="0.3">
      <c r="A31" s="6">
        <v>29</v>
      </c>
      <c r="B31" s="3" t="s">
        <v>64</v>
      </c>
      <c r="C31" s="2" t="s">
        <v>36</v>
      </c>
      <c r="D31" s="4" t="s">
        <v>65</v>
      </c>
      <c r="E31" s="8" t="s">
        <v>43</v>
      </c>
    </row>
    <row r="32" spans="1:5" x14ac:dyDescent="0.3">
      <c r="A32" s="6">
        <v>30</v>
      </c>
      <c r="B32" s="3" t="s">
        <v>66</v>
      </c>
      <c r="C32" s="2" t="s">
        <v>36</v>
      </c>
      <c r="D32" s="4" t="s">
        <v>67</v>
      </c>
      <c r="E32" s="8" t="s">
        <v>43</v>
      </c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3E7F9-2523-457A-A158-459171C3ED60}">
  <dimension ref="A1:G7"/>
  <sheetViews>
    <sheetView workbookViewId="0">
      <selection sqref="A1:G7"/>
    </sheetView>
  </sheetViews>
  <sheetFormatPr defaultRowHeight="14.4" x14ac:dyDescent="0.3"/>
  <cols>
    <col min="2" max="2" width="32.21875" bestFit="1" customWidth="1"/>
    <col min="3" max="3" width="29.88671875" bestFit="1" customWidth="1"/>
    <col min="4" max="4" width="14.5546875" bestFit="1" customWidth="1"/>
    <col min="5" max="5" width="20.5546875" bestFit="1" customWidth="1"/>
    <col min="6" max="6" width="13.6640625" bestFit="1" customWidth="1"/>
    <col min="7" max="7" width="16.5546875" bestFit="1" customWidth="1"/>
  </cols>
  <sheetData>
    <row r="1" spans="1:7" ht="15.6" x14ac:dyDescent="0.3">
      <c r="A1" s="18" t="s">
        <v>68</v>
      </c>
      <c r="B1" s="18"/>
      <c r="C1" s="18"/>
      <c r="D1" s="18"/>
      <c r="E1" s="18"/>
      <c r="F1" s="18"/>
      <c r="G1" s="18"/>
    </row>
    <row r="2" spans="1:7" ht="15.6" x14ac:dyDescent="0.3">
      <c r="A2" s="11" t="s">
        <v>69</v>
      </c>
      <c r="B2" s="11" t="s">
        <v>2</v>
      </c>
      <c r="C2" s="11" t="s">
        <v>70</v>
      </c>
      <c r="D2" s="11" t="s">
        <v>71</v>
      </c>
      <c r="E2" s="11" t="s">
        <v>72</v>
      </c>
      <c r="F2" s="11" t="s">
        <v>73</v>
      </c>
      <c r="G2" s="11" t="s">
        <v>74</v>
      </c>
    </row>
    <row r="3" spans="1:7" ht="15.6" x14ac:dyDescent="0.3">
      <c r="A3" s="12">
        <v>1</v>
      </c>
      <c r="B3" s="13" t="s">
        <v>75</v>
      </c>
      <c r="C3" s="12" t="s">
        <v>83</v>
      </c>
      <c r="D3" s="12">
        <v>1889.1</v>
      </c>
      <c r="E3" s="12">
        <v>1915</v>
      </c>
      <c r="F3" s="12">
        <f>D3-E3</f>
        <v>-25.900000000000091</v>
      </c>
      <c r="G3" s="12" t="s">
        <v>76</v>
      </c>
    </row>
    <row r="4" spans="1:7" ht="15.6" x14ac:dyDescent="0.3">
      <c r="A4" s="12">
        <v>2</v>
      </c>
      <c r="B4" s="12" t="s">
        <v>77</v>
      </c>
      <c r="C4" s="12" t="s">
        <v>82</v>
      </c>
      <c r="D4" s="12">
        <v>1162.3</v>
      </c>
      <c r="E4" s="12">
        <v>1180</v>
      </c>
      <c r="F4" s="12">
        <f>D4-E4</f>
        <v>-17.700000000000045</v>
      </c>
      <c r="G4" s="12" t="s">
        <v>76</v>
      </c>
    </row>
    <row r="5" spans="1:7" ht="15.6" x14ac:dyDescent="0.3">
      <c r="A5" s="12">
        <v>3</v>
      </c>
      <c r="B5" s="12" t="s">
        <v>78</v>
      </c>
      <c r="C5" s="12" t="s">
        <v>81</v>
      </c>
      <c r="D5" s="12">
        <v>4891.8999999999996</v>
      </c>
      <c r="E5" s="12">
        <v>5000</v>
      </c>
      <c r="F5" s="12">
        <f>D5-E5</f>
        <v>-108.10000000000036</v>
      </c>
      <c r="G5" s="12" t="s">
        <v>76</v>
      </c>
    </row>
    <row r="6" spans="1:7" ht="15.6" x14ac:dyDescent="0.3">
      <c r="A6" s="12">
        <v>4</v>
      </c>
      <c r="B6" s="10" t="s">
        <v>31</v>
      </c>
      <c r="C6" s="12" t="s">
        <v>80</v>
      </c>
      <c r="D6" s="12">
        <v>1954.2</v>
      </c>
      <c r="E6" s="12">
        <v>1963.5</v>
      </c>
      <c r="F6" s="12">
        <f>D6-E6</f>
        <v>-9.2999999999999545</v>
      </c>
      <c r="G6" s="12" t="s">
        <v>76</v>
      </c>
    </row>
    <row r="7" spans="1:7" ht="15.6" x14ac:dyDescent="0.3">
      <c r="A7" s="12">
        <v>5</v>
      </c>
      <c r="B7" s="10" t="s">
        <v>25</v>
      </c>
      <c r="C7" s="12" t="s">
        <v>79</v>
      </c>
      <c r="D7" s="12">
        <v>2108.8000000000002</v>
      </c>
      <c r="E7" s="12">
        <v>2138</v>
      </c>
      <c r="F7" s="12">
        <f>D7-E7</f>
        <v>-29.199999999999818</v>
      </c>
      <c r="G7" s="12" t="s">
        <v>76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9EEF-32D8-4E3A-8F63-7C12FACD6C75}">
  <dimension ref="A1:H23"/>
  <sheetViews>
    <sheetView tabSelected="1" topLeftCell="A5" zoomScale="125" workbookViewId="0">
      <selection activeCell="C26" sqref="C26"/>
    </sheetView>
  </sheetViews>
  <sheetFormatPr defaultRowHeight="13.8" x14ac:dyDescent="0.25"/>
  <cols>
    <col min="1" max="1" width="8.88671875" style="19"/>
    <col min="2" max="2" width="48.33203125" style="19" bestFit="1" customWidth="1"/>
    <col min="3" max="3" width="17.21875" style="19" bestFit="1" customWidth="1"/>
    <col min="4" max="8" width="13.44140625" style="19" bestFit="1" customWidth="1"/>
    <col min="9" max="16384" width="8.88671875" style="19"/>
  </cols>
  <sheetData>
    <row r="1" spans="1:8" ht="15.6" x14ac:dyDescent="0.3">
      <c r="A1" s="15" t="s">
        <v>90</v>
      </c>
      <c r="B1" s="16"/>
      <c r="C1" s="16"/>
      <c r="D1" s="16"/>
      <c r="E1" s="16"/>
      <c r="F1" s="16"/>
      <c r="G1" s="16"/>
      <c r="H1" s="16"/>
    </row>
    <row r="2" spans="1:8" ht="15.6" x14ac:dyDescent="0.3">
      <c r="A2" s="11" t="s">
        <v>69</v>
      </c>
      <c r="B2" s="11" t="s">
        <v>2</v>
      </c>
      <c r="C2" s="11" t="s">
        <v>84</v>
      </c>
      <c r="D2" s="11" t="s">
        <v>85</v>
      </c>
      <c r="E2" s="11" t="s">
        <v>86</v>
      </c>
      <c r="F2" s="11" t="s">
        <v>87</v>
      </c>
      <c r="G2" s="11" t="s">
        <v>88</v>
      </c>
      <c r="H2" s="11" t="s">
        <v>89</v>
      </c>
    </row>
    <row r="3" spans="1:8" ht="15.6" x14ac:dyDescent="0.3">
      <c r="A3" s="12">
        <v>1</v>
      </c>
      <c r="B3" s="12" t="s">
        <v>75</v>
      </c>
      <c r="C3" s="14">
        <v>1874.7</v>
      </c>
      <c r="D3" s="14">
        <v>1854.3</v>
      </c>
      <c r="E3" s="14">
        <v>1674.5</v>
      </c>
      <c r="F3" s="14">
        <v>1267.9000000000001</v>
      </c>
      <c r="G3" s="14">
        <v>1266.6500000000001</v>
      </c>
      <c r="H3" s="14">
        <v>1150.7</v>
      </c>
    </row>
    <row r="4" spans="1:8" ht="15.6" x14ac:dyDescent="0.3">
      <c r="A4" s="12">
        <v>2</v>
      </c>
      <c r="B4" s="12" t="s">
        <v>77</v>
      </c>
      <c r="C4" s="14">
        <v>12.48</v>
      </c>
      <c r="D4" s="14">
        <v>16.07</v>
      </c>
      <c r="E4" s="14">
        <v>20.99</v>
      </c>
      <c r="F4" s="14">
        <v>16.71</v>
      </c>
      <c r="G4" s="14">
        <v>20.309999999999999</v>
      </c>
      <c r="H4" s="14">
        <v>22.81</v>
      </c>
    </row>
    <row r="5" spans="1:8" ht="15.6" x14ac:dyDescent="0.3">
      <c r="A5" s="12">
        <v>3</v>
      </c>
      <c r="B5" s="12" t="s">
        <v>78</v>
      </c>
      <c r="C5" s="14">
        <v>4991.7</v>
      </c>
      <c r="D5" s="14">
        <v>3417.7</v>
      </c>
      <c r="E5" s="14">
        <v>3335.1</v>
      </c>
      <c r="F5" s="14">
        <v>2904.4</v>
      </c>
      <c r="G5" s="14">
        <v>2432.8000000000002</v>
      </c>
      <c r="H5" s="14">
        <v>1787.75</v>
      </c>
    </row>
    <row r="6" spans="1:8" ht="15.6" x14ac:dyDescent="0.3">
      <c r="A6" s="12">
        <v>4</v>
      </c>
      <c r="B6" s="10" t="s">
        <v>31</v>
      </c>
      <c r="C6" s="14">
        <v>1957.5</v>
      </c>
      <c r="D6" s="14">
        <v>1595.23</v>
      </c>
      <c r="E6" s="14">
        <v>1707.55</v>
      </c>
      <c r="F6" s="14">
        <v>1138.95</v>
      </c>
      <c r="G6" s="14">
        <v>915.95</v>
      </c>
      <c r="H6" s="14">
        <v>785.2</v>
      </c>
    </row>
    <row r="7" spans="1:8" ht="15.6" x14ac:dyDescent="0.3">
      <c r="A7" s="12">
        <v>5</v>
      </c>
      <c r="B7" s="10" t="s">
        <v>25</v>
      </c>
      <c r="C7" s="14">
        <v>2085</v>
      </c>
      <c r="D7" s="14">
        <v>2535.6</v>
      </c>
      <c r="E7" s="14">
        <v>2750.05</v>
      </c>
      <c r="F7" s="14">
        <v>2546</v>
      </c>
      <c r="G7" s="14">
        <v>2645.4</v>
      </c>
      <c r="H7" s="14">
        <v>2371.5</v>
      </c>
    </row>
    <row r="10" spans="1:8" ht="15.6" x14ac:dyDescent="0.3">
      <c r="A10" s="20" t="s">
        <v>91</v>
      </c>
      <c r="B10" s="20"/>
      <c r="C10" s="20"/>
      <c r="D10" s="20"/>
      <c r="E10" s="20"/>
      <c r="F10" s="20"/>
      <c r="G10" s="20"/>
      <c r="H10" s="20"/>
    </row>
    <row r="11" spans="1:8" ht="15.6" x14ac:dyDescent="0.3">
      <c r="A11" s="11" t="s">
        <v>69</v>
      </c>
      <c r="B11" s="11" t="s">
        <v>2</v>
      </c>
      <c r="C11" s="11" t="s">
        <v>92</v>
      </c>
      <c r="D11" s="11" t="s">
        <v>85</v>
      </c>
      <c r="E11" s="11" t="s">
        <v>86</v>
      </c>
      <c r="F11" s="11" t="s">
        <v>87</v>
      </c>
      <c r="G11" s="11" t="s">
        <v>88</v>
      </c>
      <c r="H11" s="11" t="s">
        <v>89</v>
      </c>
    </row>
    <row r="12" spans="1:8" ht="15.6" x14ac:dyDescent="0.3">
      <c r="A12" s="12">
        <v>1</v>
      </c>
      <c r="B12" s="12" t="s">
        <v>75</v>
      </c>
      <c r="C12" s="22">
        <v>100000</v>
      </c>
      <c r="D12" s="22">
        <f>C3*C12/D3</f>
        <v>101100.14560750689</v>
      </c>
      <c r="E12" s="22">
        <f>C3*C12/E3</f>
        <v>111955.80770379218</v>
      </c>
      <c r="F12" s="22">
        <f>C3*C12/F3</f>
        <v>147858.66393248679</v>
      </c>
      <c r="G12" s="22">
        <f>C3*C12/G3</f>
        <v>148004.57900761851</v>
      </c>
      <c r="H12" s="22">
        <f>C3*C12/H3</f>
        <v>162918.22368992787</v>
      </c>
    </row>
    <row r="13" spans="1:8" ht="15.6" x14ac:dyDescent="0.3">
      <c r="A13" s="12">
        <v>2</v>
      </c>
      <c r="B13" s="12" t="s">
        <v>77</v>
      </c>
      <c r="C13" s="22">
        <v>100000</v>
      </c>
      <c r="D13" s="22">
        <f>C4*C13/D4</f>
        <v>77660.236465463589</v>
      </c>
      <c r="E13" s="22">
        <f>C4*C13/E4</f>
        <v>59456.884230585994</v>
      </c>
      <c r="F13" s="22">
        <f t="shared" ref="F13:F16" si="0">C4*C13/F4</f>
        <v>74685.816876122073</v>
      </c>
      <c r="G13" s="22">
        <f t="shared" ref="G13:G16" si="1">C4*C13/G4</f>
        <v>61447.562776957166</v>
      </c>
      <c r="H13" s="22">
        <f t="shared" ref="H13:H16" si="2">C4*C13/H4</f>
        <v>54712.845243314339</v>
      </c>
    </row>
    <row r="14" spans="1:8" ht="15.6" x14ac:dyDescent="0.3">
      <c r="A14" s="12">
        <v>3</v>
      </c>
      <c r="B14" s="12" t="s">
        <v>78</v>
      </c>
      <c r="C14" s="22">
        <v>100000</v>
      </c>
      <c r="D14" s="22">
        <f>C5*C14/D5</f>
        <v>146054.36404599584</v>
      </c>
      <c r="E14" s="22">
        <f>C5*C14/E5</f>
        <v>149671.67401277323</v>
      </c>
      <c r="F14" s="22">
        <f t="shared" si="0"/>
        <v>171866.82275168708</v>
      </c>
      <c r="G14" s="22">
        <f>C5*C14/G5</f>
        <v>205183.32785268003</v>
      </c>
      <c r="H14" s="22">
        <f t="shared" si="2"/>
        <v>279216.89274227381</v>
      </c>
    </row>
    <row r="15" spans="1:8" ht="15.6" x14ac:dyDescent="0.3">
      <c r="A15" s="12">
        <v>4</v>
      </c>
      <c r="B15" s="10" t="s">
        <v>31</v>
      </c>
      <c r="C15" s="22">
        <v>100000</v>
      </c>
      <c r="D15" s="22">
        <f>C6*C15/D6</f>
        <v>122709.57792920143</v>
      </c>
      <c r="E15" s="22">
        <f>C6*C15/E6</f>
        <v>114637.93153933999</v>
      </c>
      <c r="F15" s="22">
        <f t="shared" si="0"/>
        <v>171868.82655077043</v>
      </c>
      <c r="G15" s="22">
        <f t="shared" si="1"/>
        <v>213712.53889404441</v>
      </c>
      <c r="H15" s="22">
        <f t="shared" si="2"/>
        <v>249299.54151808456</v>
      </c>
    </row>
    <row r="16" spans="1:8" ht="15.6" x14ac:dyDescent="0.3">
      <c r="A16" s="12">
        <v>5</v>
      </c>
      <c r="B16" s="10" t="s">
        <v>25</v>
      </c>
      <c r="C16" s="22">
        <v>100000</v>
      </c>
      <c r="D16" s="22">
        <f>C7*C16/D7</f>
        <v>82229.058211074298</v>
      </c>
      <c r="E16" s="22">
        <f>C7*C16/E7</f>
        <v>75816.803330848532</v>
      </c>
      <c r="F16" s="22">
        <f>C7*C16/F7</f>
        <v>81893.165750196393</v>
      </c>
      <c r="G16" s="22">
        <f t="shared" si="1"/>
        <v>78816.058063052842</v>
      </c>
      <c r="H16" s="22">
        <f t="shared" si="2"/>
        <v>87919.038583175206</v>
      </c>
    </row>
    <row r="19" spans="1:8" ht="15.6" x14ac:dyDescent="0.3">
      <c r="A19" s="20" t="s">
        <v>104</v>
      </c>
      <c r="B19" s="20"/>
      <c r="C19" s="20"/>
      <c r="D19" s="20"/>
      <c r="E19" s="20"/>
      <c r="F19" s="20"/>
      <c r="G19" s="20"/>
      <c r="H19" s="20"/>
    </row>
    <row r="20" spans="1:8" ht="15.6" x14ac:dyDescent="0.3">
      <c r="A20" s="21" t="s">
        <v>93</v>
      </c>
      <c r="B20" s="21" t="s">
        <v>94</v>
      </c>
      <c r="C20" s="21" t="s">
        <v>95</v>
      </c>
      <c r="D20" s="21" t="s">
        <v>96</v>
      </c>
      <c r="E20" s="21" t="s">
        <v>97</v>
      </c>
      <c r="F20" s="21" t="s">
        <v>98</v>
      </c>
      <c r="G20" s="21" t="s">
        <v>99</v>
      </c>
      <c r="H20" s="21" t="s">
        <v>100</v>
      </c>
    </row>
    <row r="21" spans="1:8" ht="15.6" x14ac:dyDescent="0.3">
      <c r="A21" s="8">
        <v>1</v>
      </c>
      <c r="B21" s="23" t="s">
        <v>101</v>
      </c>
      <c r="C21" s="24">
        <v>100000</v>
      </c>
      <c r="D21" s="22">
        <f>D23*3/100</f>
        <v>4381.630921379875</v>
      </c>
      <c r="E21" s="22">
        <f t="shared" ref="E21:H21" si="3">E23*3/100</f>
        <v>4490.1502203831969</v>
      </c>
      <c r="F21" s="22">
        <f t="shared" si="3"/>
        <v>5156.0046825506124</v>
      </c>
      <c r="G21" s="22">
        <f t="shared" si="3"/>
        <v>6155.4998355804009</v>
      </c>
      <c r="H21" s="22">
        <f t="shared" si="3"/>
        <v>8376.506782268214</v>
      </c>
    </row>
    <row r="22" spans="1:8" ht="15.6" x14ac:dyDescent="0.3">
      <c r="A22" s="8">
        <v>2</v>
      </c>
      <c r="B22" s="23" t="s">
        <v>102</v>
      </c>
      <c r="C22" s="24">
        <v>100000</v>
      </c>
      <c r="D22" s="22">
        <f>D23*7/100</f>
        <v>10223.805483219709</v>
      </c>
      <c r="E22" s="22">
        <f t="shared" ref="E22:H22" si="4">E23*7/100</f>
        <v>10477.017180894127</v>
      </c>
      <c r="F22" s="22">
        <f t="shared" si="4"/>
        <v>12030.677592618094</v>
      </c>
      <c r="G22" s="22">
        <f t="shared" si="4"/>
        <v>14362.832949687601</v>
      </c>
      <c r="H22" s="22">
        <f t="shared" si="4"/>
        <v>19545.182491959167</v>
      </c>
    </row>
    <row r="23" spans="1:8" ht="15.6" x14ac:dyDescent="0.3">
      <c r="A23" s="8">
        <v>3</v>
      </c>
      <c r="B23" s="23" t="s">
        <v>103</v>
      </c>
      <c r="C23" s="22">
        <f>C14</f>
        <v>100000</v>
      </c>
      <c r="D23" s="22">
        <f>D14</f>
        <v>146054.36404599584</v>
      </c>
      <c r="E23" s="22">
        <f>E14</f>
        <v>149671.67401277323</v>
      </c>
      <c r="F23" s="22">
        <f>F14</f>
        <v>171866.82275168708</v>
      </c>
      <c r="G23" s="22">
        <f>G14</f>
        <v>205183.32785268003</v>
      </c>
      <c r="H23" s="22">
        <f>H14</f>
        <v>279216.89274227381</v>
      </c>
    </row>
  </sheetData>
  <mergeCells count="3">
    <mergeCell ref="A1:H1"/>
    <mergeCell ref="A10:H10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 1</vt:lpstr>
      <vt:lpstr>Session 2</vt:lpstr>
      <vt:lpstr>Session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Pavithran D</dc:creator>
  <cp:keywords/>
  <dc:description/>
  <cp:lastModifiedBy>Pavithran D</cp:lastModifiedBy>
  <cp:revision/>
  <dcterms:created xsi:type="dcterms:W3CDTF">2026-07-23T03:59:00Z</dcterms:created>
  <dcterms:modified xsi:type="dcterms:W3CDTF">2026-08-07T08:13:00Z</dcterms:modified>
  <cp:category/>
  <cp:contentStatus/>
</cp:coreProperties>
</file>